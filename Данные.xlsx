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МОИ ДОКУМЕНТЫ\МФТИ\ВПВ\"/>
    </mc:Choice>
  </mc:AlternateContent>
  <bookViews>
    <workbookView xWindow="0" yWindow="0" windowWidth="23040" windowHeight="8496" activeTab="2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1" i="2"/>
  <c r="R4" i="1"/>
  <c r="R5" i="1"/>
  <c r="R6" i="1"/>
  <c r="R3" i="1"/>
  <c r="A3" i="2" l="1"/>
  <c r="A7" i="2" s="1"/>
  <c r="E7" i="2" s="1"/>
  <c r="A8" i="2" l="1"/>
  <c r="E8" i="2" s="1"/>
  <c r="A9" i="2" l="1"/>
  <c r="E9" i="2" s="1"/>
  <c r="A10" i="2" l="1"/>
  <c r="E10" i="2" s="1"/>
  <c r="A11" i="2" l="1"/>
  <c r="E11" i="2" s="1"/>
  <c r="A12" i="2" l="1"/>
  <c r="E12" i="2" s="1"/>
  <c r="A13" i="2" l="1"/>
  <c r="E13" i="2" s="1"/>
  <c r="A14" i="2" l="1"/>
  <c r="E14" i="2" s="1"/>
  <c r="A15" i="2" l="1"/>
  <c r="E15" i="2" s="1"/>
  <c r="A16" i="2" l="1"/>
  <c r="E16" i="2" s="1"/>
  <c r="A17" i="2" l="1"/>
  <c r="E17" i="2" s="1"/>
  <c r="A18" i="2" l="1"/>
  <c r="E18" i="2" s="1"/>
  <c r="A19" i="2" l="1"/>
  <c r="E19" i="2" s="1"/>
  <c r="A20" i="2" l="1"/>
  <c r="E20" i="2" s="1"/>
  <c r="A21" i="2" l="1"/>
  <c r="E21" i="2" s="1"/>
  <c r="A22" i="2" l="1"/>
  <c r="E22" i="2" s="1"/>
  <c r="A23" i="2" l="1"/>
  <c r="E23" i="2" s="1"/>
  <c r="A24" i="2" l="1"/>
  <c r="E24" i="2" s="1"/>
  <c r="A25" i="2" l="1"/>
  <c r="E25" i="2" s="1"/>
  <c r="A26" i="2" l="1"/>
  <c r="E26" i="2" s="1"/>
  <c r="A27" i="2" l="1"/>
  <c r="E27" i="2" s="1"/>
  <c r="A28" i="2" l="1"/>
  <c r="E28" i="2" s="1"/>
  <c r="A29" i="2" l="1"/>
  <c r="E29" i="2" s="1"/>
  <c r="A30" i="2" l="1"/>
  <c r="E30" i="2" s="1"/>
</calcChain>
</file>

<file path=xl/sharedStrings.xml><?xml version="1.0" encoding="utf-8"?>
<sst xmlns="http://schemas.openxmlformats.org/spreadsheetml/2006/main" count="12" uniqueCount="11">
  <si>
    <t>Длина нити, мм</t>
  </si>
  <si>
    <t>Период свободных колебаний</t>
  </si>
  <si>
    <t>Частота свободных колебаний</t>
  </si>
  <si>
    <t>Отношение резонансной и собственной частоты колебаний</t>
  </si>
  <si>
    <t>Частота изменения длины (начало резонанса), Гц</t>
  </si>
  <si>
    <t>Частота изменения длины срыв резонанса), Гц</t>
  </si>
  <si>
    <t>Наилучшая частота изменения параметра, Гц</t>
  </si>
  <si>
    <t>Коэффициент затухания</t>
  </si>
  <si>
    <t>Теоретический изменение cos угла при параметрическом резонансе</t>
  </si>
  <si>
    <t>Теоретический увеличение амплитуды при параметрическом резонансе, мм</t>
  </si>
  <si>
    <t>Увеличение амплитуды в ходе эксперимента,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</si>
</sst>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zoomScale="79" workbookViewId="0">
      <selection activeCell="A8" sqref="A8:D13"/>
    </sheetView>
  </sheetViews>
  <sheetFormatPr defaultRowHeight="14.4" x14ac:dyDescent="0.3"/>
  <sheetData>
    <row r="1" spans="1:21" ht="14.4" customHeight="1" x14ac:dyDescent="0.3">
      <c r="A1" s="1" t="s">
        <v>0</v>
      </c>
      <c r="B1" s="2"/>
      <c r="C1" s="16" t="s">
        <v>1</v>
      </c>
      <c r="D1" s="16"/>
      <c r="E1" s="16"/>
      <c r="F1" s="16" t="s">
        <v>2</v>
      </c>
      <c r="G1" s="16"/>
      <c r="H1" s="16"/>
      <c r="I1" s="20" t="s">
        <v>4</v>
      </c>
      <c r="J1" s="20"/>
      <c r="K1" s="20"/>
      <c r="L1" s="16" t="s">
        <v>5</v>
      </c>
      <c r="M1" s="16"/>
      <c r="N1" s="16"/>
      <c r="O1" s="20" t="s">
        <v>6</v>
      </c>
      <c r="P1" s="20"/>
      <c r="Q1" s="20"/>
      <c r="R1" s="16" t="s">
        <v>3</v>
      </c>
      <c r="S1" s="16"/>
      <c r="T1" s="16"/>
      <c r="U1" s="17"/>
    </row>
    <row r="2" spans="1:21" x14ac:dyDescent="0.3">
      <c r="A2" s="3"/>
      <c r="B2" s="4"/>
      <c r="C2" s="18"/>
      <c r="D2" s="18"/>
      <c r="E2" s="18"/>
      <c r="F2" s="18"/>
      <c r="G2" s="18"/>
      <c r="H2" s="18"/>
      <c r="I2" s="21"/>
      <c r="J2" s="21"/>
      <c r="K2" s="21"/>
      <c r="L2" s="18"/>
      <c r="M2" s="18"/>
      <c r="N2" s="18"/>
      <c r="O2" s="21"/>
      <c r="P2" s="21"/>
      <c r="Q2" s="21"/>
      <c r="R2" s="18"/>
      <c r="S2" s="18"/>
      <c r="T2" s="18"/>
      <c r="U2" s="19"/>
    </row>
    <row r="3" spans="1:21" x14ac:dyDescent="0.3">
      <c r="A3" s="3">
        <v>1007</v>
      </c>
      <c r="B3" s="4"/>
      <c r="C3" s="6">
        <v>2.02</v>
      </c>
      <c r="D3" s="6"/>
      <c r="E3" s="6"/>
      <c r="F3" s="6">
        <v>0.49</v>
      </c>
      <c r="G3" s="6"/>
      <c r="H3" s="6"/>
      <c r="I3" s="6">
        <v>0.88</v>
      </c>
      <c r="J3" s="6"/>
      <c r="K3" s="6"/>
      <c r="L3" s="6">
        <v>0.91</v>
      </c>
      <c r="M3" s="6"/>
      <c r="N3" s="6"/>
      <c r="O3" s="6">
        <v>0.89</v>
      </c>
      <c r="P3" s="6"/>
      <c r="Q3" s="6"/>
      <c r="R3" s="12">
        <f>O3/F3</f>
        <v>1.8163265306122449</v>
      </c>
      <c r="S3" s="12"/>
      <c r="T3" s="12"/>
      <c r="U3" s="13"/>
    </row>
    <row r="4" spans="1:21" x14ac:dyDescent="0.3">
      <c r="A4" s="5">
        <v>750</v>
      </c>
      <c r="B4" s="6"/>
      <c r="C4" s="6">
        <v>1.66</v>
      </c>
      <c r="D4" s="6"/>
      <c r="E4" s="6"/>
      <c r="F4" s="6">
        <v>0.6</v>
      </c>
      <c r="G4" s="6"/>
      <c r="H4" s="6"/>
      <c r="I4" s="6">
        <v>1.04</v>
      </c>
      <c r="J4" s="6"/>
      <c r="K4" s="6"/>
      <c r="L4" s="6">
        <v>1.07</v>
      </c>
      <c r="M4" s="6"/>
      <c r="N4" s="6"/>
      <c r="O4" s="4">
        <v>1.05</v>
      </c>
      <c r="P4" s="4"/>
      <c r="Q4" s="4"/>
      <c r="R4" s="12">
        <f t="shared" ref="R4:R6" si="0">O4/F4</f>
        <v>1.7500000000000002</v>
      </c>
      <c r="S4" s="12"/>
      <c r="T4" s="12"/>
      <c r="U4" s="13"/>
    </row>
    <row r="5" spans="1:21" x14ac:dyDescent="0.3">
      <c r="A5" s="5">
        <v>500</v>
      </c>
      <c r="B5" s="6"/>
      <c r="C5" s="6">
        <v>1.41</v>
      </c>
      <c r="D5" s="6"/>
      <c r="E5" s="6"/>
      <c r="F5" s="6">
        <v>0.71</v>
      </c>
      <c r="G5" s="6"/>
      <c r="H5" s="6"/>
      <c r="I5" s="6">
        <v>1.24</v>
      </c>
      <c r="J5" s="6"/>
      <c r="K5" s="6"/>
      <c r="L5" s="4">
        <v>1.27</v>
      </c>
      <c r="M5" s="4"/>
      <c r="N5" s="4"/>
      <c r="O5" s="4">
        <v>1.26</v>
      </c>
      <c r="P5" s="4"/>
      <c r="Q5" s="4"/>
      <c r="R5" s="12">
        <f t="shared" si="0"/>
        <v>1.7746478873239437</v>
      </c>
      <c r="S5" s="12"/>
      <c r="T5" s="12"/>
      <c r="U5" s="13"/>
    </row>
    <row r="6" spans="1:21" ht="15" thickBot="1" x14ac:dyDescent="0.35">
      <c r="A6" s="7">
        <v>330</v>
      </c>
      <c r="B6" s="8"/>
      <c r="C6" s="8">
        <v>1.1499999999999999</v>
      </c>
      <c r="D6" s="8"/>
      <c r="E6" s="8"/>
      <c r="F6" s="8">
        <v>0.87</v>
      </c>
      <c r="G6" s="8"/>
      <c r="H6" s="8"/>
      <c r="I6" s="8">
        <v>1.48</v>
      </c>
      <c r="J6" s="8"/>
      <c r="K6" s="8"/>
      <c r="L6" s="10">
        <v>1.51</v>
      </c>
      <c r="M6" s="10"/>
      <c r="N6" s="10"/>
      <c r="O6" s="10">
        <v>1.5</v>
      </c>
      <c r="P6" s="10"/>
      <c r="Q6" s="10"/>
      <c r="R6" s="14">
        <f t="shared" si="0"/>
        <v>1.7241379310344829</v>
      </c>
      <c r="S6" s="14"/>
      <c r="T6" s="14"/>
      <c r="U6" s="15"/>
    </row>
    <row r="7" spans="1:21" ht="15" thickBot="1" x14ac:dyDescent="0.35"/>
    <row r="8" spans="1:21" x14ac:dyDescent="0.3">
      <c r="A8" s="1" t="s">
        <v>0</v>
      </c>
      <c r="B8" s="2"/>
      <c r="C8" s="16" t="s">
        <v>7</v>
      </c>
      <c r="D8" s="17"/>
    </row>
    <row r="9" spans="1:21" x14ac:dyDescent="0.3">
      <c r="A9" s="3"/>
      <c r="B9" s="4"/>
      <c r="C9" s="18"/>
      <c r="D9" s="19"/>
    </row>
    <row r="10" spans="1:21" x14ac:dyDescent="0.3">
      <c r="A10" s="3">
        <v>1007</v>
      </c>
      <c r="B10" s="4"/>
      <c r="C10" s="4">
        <v>1.2E-2</v>
      </c>
      <c r="D10" s="9"/>
    </row>
    <row r="11" spans="1:21" x14ac:dyDescent="0.3">
      <c r="A11" s="5">
        <v>750</v>
      </c>
      <c r="B11" s="6"/>
      <c r="C11" s="4">
        <v>1.9E-2</v>
      </c>
      <c r="D11" s="9"/>
    </row>
    <row r="12" spans="1:21" x14ac:dyDescent="0.3">
      <c r="A12" s="5">
        <v>500</v>
      </c>
      <c r="B12" s="6"/>
      <c r="C12" s="4">
        <v>2.7E-2</v>
      </c>
      <c r="D12" s="9"/>
    </row>
    <row r="13" spans="1:21" ht="15" thickBot="1" x14ac:dyDescent="0.35">
      <c r="A13" s="7">
        <v>330</v>
      </c>
      <c r="B13" s="8"/>
      <c r="C13" s="10">
        <v>3.2000000000000001E-2</v>
      </c>
      <c r="D13" s="11"/>
    </row>
  </sheetData>
  <mergeCells count="45">
    <mergeCell ref="R1:U2"/>
    <mergeCell ref="L1:N2"/>
    <mergeCell ref="A3:B3"/>
    <mergeCell ref="C3:E3"/>
    <mergeCell ref="F3:H3"/>
    <mergeCell ref="I3:K3"/>
    <mergeCell ref="R3:U3"/>
    <mergeCell ref="L3:N3"/>
    <mergeCell ref="O3:Q3"/>
    <mergeCell ref="A1:B2"/>
    <mergeCell ref="I1:K2"/>
    <mergeCell ref="O1:Q2"/>
    <mergeCell ref="C1:E2"/>
    <mergeCell ref="F1:H2"/>
    <mergeCell ref="A4:B4"/>
    <mergeCell ref="A5:B5"/>
    <mergeCell ref="A6:B6"/>
    <mergeCell ref="I4:K4"/>
    <mergeCell ref="I5:K5"/>
    <mergeCell ref="I6:K6"/>
    <mergeCell ref="C5:E5"/>
    <mergeCell ref="R4:U4"/>
    <mergeCell ref="R5:U5"/>
    <mergeCell ref="R6:U6"/>
    <mergeCell ref="C8:D9"/>
    <mergeCell ref="L6:N6"/>
    <mergeCell ref="O4:Q4"/>
    <mergeCell ref="O5:Q5"/>
    <mergeCell ref="O6:Q6"/>
    <mergeCell ref="F4:H4"/>
    <mergeCell ref="F5:H5"/>
    <mergeCell ref="F6:H6"/>
    <mergeCell ref="L4:N4"/>
    <mergeCell ref="L5:N5"/>
    <mergeCell ref="C4:E4"/>
    <mergeCell ref="C10:D10"/>
    <mergeCell ref="C11:D11"/>
    <mergeCell ref="C12:D12"/>
    <mergeCell ref="C13:D13"/>
    <mergeCell ref="C6:E6"/>
    <mergeCell ref="A8:B9"/>
    <mergeCell ref="A10:B10"/>
    <mergeCell ref="A11:B11"/>
    <mergeCell ref="A12:B12"/>
    <mergeCell ref="A13:B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opLeftCell="A5" workbookViewId="0">
      <selection activeCell="K35" sqref="K35"/>
    </sheetView>
  </sheetViews>
  <sheetFormatPr defaultRowHeight="14.4" x14ac:dyDescent="0.3"/>
  <sheetData>
    <row r="1" spans="1:11" x14ac:dyDescent="0.3">
      <c r="A1">
        <f>330-7.5</f>
        <v>322.5</v>
      </c>
    </row>
    <row r="2" spans="1:11" x14ac:dyDescent="0.3">
      <c r="A2">
        <f>330+7.5</f>
        <v>337.5</v>
      </c>
    </row>
    <row r="3" spans="1:11" x14ac:dyDescent="0.3">
      <c r="A3">
        <f>(A2/A1)^3</f>
        <v>1.1461254983837905</v>
      </c>
    </row>
    <row r="4" spans="1:11" ht="15" thickBot="1" x14ac:dyDescent="0.35">
      <c r="A4">
        <v>0.99299999999999999</v>
      </c>
    </row>
    <row r="5" spans="1:11" ht="14.4" customHeight="1" x14ac:dyDescent="0.3">
      <c r="A5" s="30" t="s">
        <v>8</v>
      </c>
      <c r="B5" s="16"/>
      <c r="C5" s="16"/>
      <c r="D5" s="16"/>
      <c r="E5" s="16" t="s">
        <v>9</v>
      </c>
      <c r="F5" s="16"/>
      <c r="G5" s="16"/>
      <c r="H5" s="16"/>
      <c r="I5" s="16" t="s">
        <v>10</v>
      </c>
      <c r="J5" s="16"/>
      <c r="K5" s="17"/>
    </row>
    <row r="6" spans="1:11" x14ac:dyDescent="0.3">
      <c r="A6" s="31"/>
      <c r="B6" s="18"/>
      <c r="C6" s="18"/>
      <c r="D6" s="18"/>
      <c r="E6" s="18"/>
      <c r="F6" s="18"/>
      <c r="G6" s="18"/>
      <c r="H6" s="18"/>
      <c r="I6" s="18"/>
      <c r="J6" s="18"/>
      <c r="K6" s="19"/>
    </row>
    <row r="7" spans="1:11" x14ac:dyDescent="0.3">
      <c r="A7" s="26">
        <f>1-(1-A4)*$A$3</f>
        <v>0.99197712151131345</v>
      </c>
      <c r="B7" s="27"/>
      <c r="C7" s="27"/>
      <c r="D7" s="27"/>
      <c r="E7" s="25">
        <f>SQRT(1/A7^2-1)*16.5*10</f>
        <v>21.027593301524444</v>
      </c>
      <c r="F7" s="25"/>
      <c r="G7" s="25"/>
      <c r="H7" s="25"/>
      <c r="I7" s="6">
        <v>21</v>
      </c>
      <c r="J7" s="6"/>
      <c r="K7" s="22"/>
    </row>
    <row r="8" spans="1:11" x14ac:dyDescent="0.3">
      <c r="A8" s="26">
        <f t="shared" ref="A8:A30" si="0">1-(1-A7)*$A$3</f>
        <v>0.99080477439368153</v>
      </c>
      <c r="B8" s="27"/>
      <c r="C8" s="27"/>
      <c r="D8" s="27"/>
      <c r="E8" s="25">
        <f t="shared" ref="E8:E30" si="1">SQRT(1/A8^2-1)*16.5*10</f>
        <v>22.531566396146999</v>
      </c>
      <c r="F8" s="25"/>
      <c r="G8" s="25"/>
      <c r="H8" s="25"/>
      <c r="I8" s="6">
        <v>22</v>
      </c>
      <c r="J8" s="6"/>
      <c r="K8" s="22"/>
    </row>
    <row r="9" spans="1:11" x14ac:dyDescent="0.3">
      <c r="A9" s="26">
        <f t="shared" si="0"/>
        <v>0.98946111746920684</v>
      </c>
      <c r="B9" s="27"/>
      <c r="C9" s="27"/>
      <c r="D9" s="27"/>
      <c r="E9" s="25">
        <f t="shared" si="1"/>
        <v>24.146279385932488</v>
      </c>
      <c r="F9" s="25"/>
      <c r="G9" s="25"/>
      <c r="H9" s="25"/>
      <c r="I9" s="6">
        <v>25</v>
      </c>
      <c r="J9" s="6"/>
      <c r="K9" s="22"/>
    </row>
    <row r="10" spans="1:11" x14ac:dyDescent="0.3">
      <c r="A10" s="26">
        <f t="shared" si="0"/>
        <v>0.98792111800698645</v>
      </c>
      <c r="B10" s="27"/>
      <c r="C10" s="27"/>
      <c r="D10" s="27"/>
      <c r="E10" s="25">
        <f t="shared" si="1"/>
        <v>25.8806165323155</v>
      </c>
      <c r="F10" s="25"/>
      <c r="G10" s="25"/>
      <c r="H10" s="25"/>
      <c r="I10" s="6">
        <v>28</v>
      </c>
      <c r="J10" s="6"/>
      <c r="K10" s="22"/>
    </row>
    <row r="11" spans="1:11" x14ac:dyDescent="0.3">
      <c r="A11" s="26">
        <f t="shared" si="0"/>
        <v>0.98615608535583832</v>
      </c>
      <c r="B11" s="27"/>
      <c r="C11" s="27"/>
      <c r="D11" s="27"/>
      <c r="E11" s="25">
        <f t="shared" si="1"/>
        <v>27.744342000339696</v>
      </c>
      <c r="F11" s="25"/>
      <c r="G11" s="25"/>
      <c r="H11" s="25"/>
      <c r="I11" s="6">
        <v>29</v>
      </c>
      <c r="J11" s="6"/>
      <c r="K11" s="22"/>
    </row>
    <row r="12" spans="1:11" x14ac:dyDescent="0.3">
      <c r="A12" s="26">
        <f t="shared" si="0"/>
        <v>0.98413313642887756</v>
      </c>
      <c r="B12" s="27"/>
      <c r="C12" s="27"/>
      <c r="D12" s="27"/>
      <c r="E12" s="25">
        <f t="shared" si="1"/>
        <v>29.748223659792693</v>
      </c>
      <c r="F12" s="25"/>
      <c r="G12" s="25"/>
      <c r="H12" s="25"/>
      <c r="I12" s="6">
        <v>30</v>
      </c>
      <c r="J12" s="6"/>
      <c r="K12" s="22"/>
    </row>
    <row r="13" spans="1:11" x14ac:dyDescent="0.3">
      <c r="A13" s="26">
        <f t="shared" si="0"/>
        <v>0.98181458308175973</v>
      </c>
      <c r="B13" s="27"/>
      <c r="C13" s="27"/>
      <c r="D13" s="27"/>
      <c r="E13" s="25">
        <f t="shared" si="1"/>
        <v>31.904181456995708</v>
      </c>
      <c r="F13" s="25"/>
      <c r="G13" s="25"/>
      <c r="H13" s="25"/>
      <c r="I13" s="6">
        <v>31</v>
      </c>
      <c r="J13" s="6"/>
      <c r="K13" s="22"/>
    </row>
    <row r="14" spans="1:11" x14ac:dyDescent="0.3">
      <c r="A14" s="26">
        <f t="shared" si="0"/>
        <v>0.97915722997126486</v>
      </c>
      <c r="B14" s="27"/>
      <c r="C14" s="27"/>
      <c r="D14" s="27"/>
      <c r="E14" s="25">
        <f t="shared" si="1"/>
        <v>34.22546648094692</v>
      </c>
      <c r="F14" s="25"/>
      <c r="G14" s="25"/>
      <c r="H14" s="25"/>
      <c r="I14" s="6">
        <v>34</v>
      </c>
      <c r="J14" s="6"/>
      <c r="K14" s="22"/>
    </row>
    <row r="15" spans="1:11" x14ac:dyDescent="0.3">
      <c r="A15" s="26">
        <f t="shared" si="0"/>
        <v>0.9761115698131172</v>
      </c>
      <c r="B15" s="27"/>
      <c r="C15" s="27"/>
      <c r="D15" s="27"/>
      <c r="E15" s="25">
        <f t="shared" si="1"/>
        <v>36.726878633766674</v>
      </c>
      <c r="F15" s="25"/>
      <c r="G15" s="25"/>
      <c r="H15" s="25"/>
      <c r="I15" s="6">
        <v>36</v>
      </c>
      <c r="J15" s="6"/>
      <c r="K15" s="22"/>
    </row>
    <row r="16" spans="1:11" x14ac:dyDescent="0.3">
      <c r="A16" s="26">
        <f t="shared" si="0"/>
        <v>0.97262086104645251</v>
      </c>
      <c r="B16" s="27"/>
      <c r="C16" s="27"/>
      <c r="D16" s="27"/>
      <c r="E16" s="25">
        <f t="shared" si="1"/>
        <v>39.425033203117572</v>
      </c>
      <c r="F16" s="25"/>
      <c r="G16" s="25"/>
      <c r="H16" s="25"/>
      <c r="I16" s="6">
        <v>38</v>
      </c>
      <c r="J16" s="6"/>
      <c r="K16" s="22"/>
    </row>
    <row r="17" spans="1:11" x14ac:dyDescent="0.3">
      <c r="A17" s="26">
        <f t="shared" si="0"/>
        <v>0.96862007072154632</v>
      </c>
      <c r="B17" s="27"/>
      <c r="C17" s="27"/>
      <c r="D17" s="27"/>
      <c r="E17" s="25">
        <f t="shared" si="1"/>
        <v>42.338689857534547</v>
      </c>
      <c r="F17" s="25"/>
      <c r="G17" s="25"/>
      <c r="H17" s="25"/>
      <c r="I17" s="6">
        <v>40</v>
      </c>
      <c r="J17" s="6"/>
      <c r="K17" s="22"/>
    </row>
    <row r="18" spans="1:11" x14ac:dyDescent="0.3">
      <c r="A18" s="26">
        <f t="shared" si="0"/>
        <v>0.96403466291648421</v>
      </c>
      <c r="B18" s="27"/>
      <c r="C18" s="27"/>
      <c r="D18" s="27"/>
      <c r="E18" s="25">
        <f t="shared" si="1"/>
        <v>45.489161983313153</v>
      </c>
      <c r="F18" s="25"/>
      <c r="G18" s="25"/>
      <c r="H18" s="25"/>
      <c r="I18" s="6">
        <v>44</v>
      </c>
      <c r="J18" s="6"/>
      <c r="K18" s="22"/>
    </row>
    <row r="19" spans="1:11" x14ac:dyDescent="0.3">
      <c r="A19" s="26">
        <f t="shared" si="0"/>
        <v>0.9587792101106144</v>
      </c>
      <c r="B19" s="27"/>
      <c r="C19" s="27"/>
      <c r="D19" s="27"/>
      <c r="E19" s="25">
        <f t="shared" si="1"/>
        <v>48.900830351128981</v>
      </c>
      <c r="F19" s="25"/>
      <c r="G19" s="25"/>
      <c r="H19" s="25"/>
      <c r="I19" s="6">
        <v>50</v>
      </c>
      <c r="J19" s="6"/>
      <c r="K19" s="22"/>
    </row>
    <row r="20" spans="1:11" x14ac:dyDescent="0.3">
      <c r="A20" s="26">
        <f t="shared" si="0"/>
        <v>0.95275580164425444</v>
      </c>
      <c r="B20" s="27"/>
      <c r="C20" s="27"/>
      <c r="D20" s="27"/>
      <c r="E20" s="25">
        <f t="shared" si="1"/>
        <v>52.601793582399196</v>
      </c>
      <c r="F20" s="25"/>
      <c r="G20" s="25"/>
      <c r="H20" s="25"/>
      <c r="I20" s="6">
        <v>52</v>
      </c>
      <c r="J20" s="6"/>
      <c r="K20" s="22"/>
    </row>
    <row r="21" spans="1:11" x14ac:dyDescent="0.3">
      <c r="A21" s="26">
        <f t="shared" si="0"/>
        <v>0.94585221961377841</v>
      </c>
      <c r="B21" s="27"/>
      <c r="C21" s="27"/>
      <c r="D21" s="27"/>
      <c r="E21" s="25">
        <f t="shared" si="1"/>
        <v>56.624699899220786</v>
      </c>
      <c r="F21" s="25"/>
      <c r="G21" s="25"/>
      <c r="H21" s="25"/>
      <c r="I21" s="6">
        <v>55</v>
      </c>
      <c r="J21" s="6"/>
      <c r="K21" s="22"/>
    </row>
    <row r="22" spans="1:11" x14ac:dyDescent="0.3">
      <c r="A22" s="26">
        <f t="shared" si="0"/>
        <v>0.93793984821846577</v>
      </c>
      <c r="B22" s="27"/>
      <c r="C22" s="27"/>
      <c r="D22" s="27"/>
      <c r="E22" s="25">
        <f t="shared" si="1"/>
        <v>61.007821908948671</v>
      </c>
      <c r="F22" s="25"/>
      <c r="G22" s="25"/>
      <c r="H22" s="25"/>
      <c r="I22" s="6">
        <v>57</v>
      </c>
      <c r="J22" s="6"/>
      <c r="K22" s="22"/>
    </row>
    <row r="23" spans="1:11" x14ac:dyDescent="0.3">
      <c r="A23" s="26">
        <f t="shared" si="0"/>
        <v>0.92887127760961541</v>
      </c>
      <c r="B23" s="27"/>
      <c r="C23" s="27"/>
      <c r="D23" s="27"/>
      <c r="E23" s="25">
        <f t="shared" si="1"/>
        <v>65.796461389915351</v>
      </c>
      <c r="F23" s="25"/>
      <c r="G23" s="25"/>
      <c r="H23" s="25"/>
      <c r="I23" s="6">
        <v>65</v>
      </c>
      <c r="J23" s="6"/>
      <c r="K23" s="22"/>
    </row>
    <row r="24" spans="1:11" x14ac:dyDescent="0.3">
      <c r="A24" s="26">
        <f t="shared" si="0"/>
        <v>0.9184775576009182</v>
      </c>
      <c r="B24" s="27"/>
      <c r="C24" s="27"/>
      <c r="D24" s="27"/>
      <c r="E24" s="25">
        <f t="shared" si="1"/>
        <v>71.04480851044633</v>
      </c>
      <c r="F24" s="25"/>
      <c r="G24" s="25"/>
      <c r="H24" s="25"/>
      <c r="I24" s="6">
        <v>70</v>
      </c>
      <c r="J24" s="6"/>
      <c r="K24" s="22"/>
    </row>
    <row r="25" spans="1:11" x14ac:dyDescent="0.3">
      <c r="A25" s="26">
        <f t="shared" si="0"/>
        <v>0.9065650500758885</v>
      </c>
      <c r="B25" s="27"/>
      <c r="C25" s="27"/>
      <c r="D25" s="27"/>
      <c r="E25" s="25">
        <f t="shared" si="1"/>
        <v>76.818436645542718</v>
      </c>
      <c r="F25" s="25"/>
      <c r="G25" s="25"/>
      <c r="H25" s="25"/>
      <c r="I25" s="6">
        <v>75</v>
      </c>
      <c r="J25" s="6"/>
      <c r="K25" s="22"/>
    </row>
    <row r="26" spans="1:11" x14ac:dyDescent="0.3">
      <c r="A26" s="26">
        <f t="shared" si="0"/>
        <v>0.89291182145176318</v>
      </c>
      <c r="B26" s="27"/>
      <c r="C26" s="27"/>
      <c r="D26" s="27"/>
      <c r="E26" s="25">
        <f t="shared" si="1"/>
        <v>83.1977016692734</v>
      </c>
      <c r="F26" s="25"/>
      <c r="G26" s="25"/>
      <c r="H26" s="25"/>
      <c r="I26" s="6">
        <v>82</v>
      </c>
      <c r="J26" s="6"/>
      <c r="K26" s="22"/>
    </row>
    <row r="27" spans="1:11" x14ac:dyDescent="0.3">
      <c r="A27" s="26">
        <f t="shared" si="0"/>
        <v>0.87726350799038977</v>
      </c>
      <c r="B27" s="27"/>
      <c r="C27" s="27"/>
      <c r="D27" s="27"/>
      <c r="E27" s="25">
        <f t="shared" si="1"/>
        <v>90.28245336834452</v>
      </c>
      <c r="F27" s="25"/>
      <c r="G27" s="25"/>
      <c r="H27" s="25"/>
      <c r="I27" s="6">
        <v>92</v>
      </c>
      <c r="J27" s="6"/>
      <c r="K27" s="22"/>
    </row>
    <row r="28" spans="1:11" x14ac:dyDescent="0.3">
      <c r="A28" s="26">
        <f t="shared" si="0"/>
        <v>0.85932857692560738</v>
      </c>
      <c r="B28" s="27"/>
      <c r="C28" s="27"/>
      <c r="D28" s="27"/>
      <c r="E28" s="25">
        <f t="shared" si="1"/>
        <v>98.19869183523511</v>
      </c>
      <c r="F28" s="25"/>
      <c r="G28" s="25"/>
      <c r="H28" s="25"/>
      <c r="I28" s="6">
        <v>100</v>
      </c>
      <c r="J28" s="6"/>
      <c r="K28" s="22"/>
    </row>
    <row r="29" spans="1:11" x14ac:dyDescent="0.3">
      <c r="A29" s="26">
        <f t="shared" si="0"/>
        <v>0.83877289512050468</v>
      </c>
      <c r="B29" s="27"/>
      <c r="C29" s="27"/>
      <c r="D29" s="27"/>
      <c r="E29" s="25">
        <f t="shared" si="1"/>
        <v>107.10817778725739</v>
      </c>
      <c r="F29" s="25"/>
      <c r="G29" s="25"/>
      <c r="H29" s="25"/>
      <c r="I29" s="6">
        <v>108</v>
      </c>
      <c r="J29" s="6"/>
      <c r="K29" s="22"/>
    </row>
    <row r="30" spans="1:11" ht="15" thickBot="1" x14ac:dyDescent="0.35">
      <c r="A30" s="28">
        <f t="shared" si="0"/>
        <v>0.81521350406701276</v>
      </c>
      <c r="B30" s="29"/>
      <c r="C30" s="29"/>
      <c r="D30" s="29"/>
      <c r="E30" s="24">
        <f t="shared" si="1"/>
        <v>117.22265429729953</v>
      </c>
      <c r="F30" s="24"/>
      <c r="G30" s="24"/>
      <c r="H30" s="24"/>
      <c r="I30" s="8">
        <v>115</v>
      </c>
      <c r="J30" s="8"/>
      <c r="K30" s="23"/>
    </row>
  </sheetData>
  <mergeCells count="75">
    <mergeCell ref="A13:D13"/>
    <mergeCell ref="A5:D6"/>
    <mergeCell ref="E5:H6"/>
    <mergeCell ref="I5:K6"/>
    <mergeCell ref="A7:D7"/>
    <mergeCell ref="A8:D8"/>
    <mergeCell ref="A9:D9"/>
    <mergeCell ref="A10:D10"/>
    <mergeCell ref="A11:D11"/>
    <mergeCell ref="A12:D12"/>
    <mergeCell ref="E12:H12"/>
    <mergeCell ref="E13:H13"/>
    <mergeCell ref="A30:D30"/>
    <mergeCell ref="E7:H7"/>
    <mergeCell ref="E8:H8"/>
    <mergeCell ref="E9:H9"/>
    <mergeCell ref="E10:H10"/>
    <mergeCell ref="E11:H11"/>
    <mergeCell ref="A20:D20"/>
    <mergeCell ref="A21:D21"/>
    <mergeCell ref="A22:D22"/>
    <mergeCell ref="A23:D23"/>
    <mergeCell ref="A24:D24"/>
    <mergeCell ref="A25:D25"/>
    <mergeCell ref="A14:D14"/>
    <mergeCell ref="A15:D15"/>
    <mergeCell ref="A16:D16"/>
    <mergeCell ref="A17:D17"/>
    <mergeCell ref="A26:D26"/>
    <mergeCell ref="A27:D27"/>
    <mergeCell ref="A28:D28"/>
    <mergeCell ref="A29:D29"/>
    <mergeCell ref="A18:D18"/>
    <mergeCell ref="A19:D19"/>
    <mergeCell ref="E14:H14"/>
    <mergeCell ref="E15:H15"/>
    <mergeCell ref="E16:H16"/>
    <mergeCell ref="E29:H29"/>
    <mergeCell ref="E18:H18"/>
    <mergeCell ref="E19:H19"/>
    <mergeCell ref="E20:H20"/>
    <mergeCell ref="E21:H21"/>
    <mergeCell ref="E22:H22"/>
    <mergeCell ref="E23:H23"/>
    <mergeCell ref="E17:H17"/>
    <mergeCell ref="I21:K21"/>
    <mergeCell ref="E30:H30"/>
    <mergeCell ref="I7:K7"/>
    <mergeCell ref="I8:K8"/>
    <mergeCell ref="I9:K9"/>
    <mergeCell ref="I10:K10"/>
    <mergeCell ref="I11:K11"/>
    <mergeCell ref="I12:K12"/>
    <mergeCell ref="I13:K13"/>
    <mergeCell ref="I14:K14"/>
    <mergeCell ref="I15:K15"/>
    <mergeCell ref="E24:H24"/>
    <mergeCell ref="E25:H25"/>
    <mergeCell ref="E26:H26"/>
    <mergeCell ref="E27:H27"/>
    <mergeCell ref="E28:H28"/>
    <mergeCell ref="I16:K16"/>
    <mergeCell ref="I17:K17"/>
    <mergeCell ref="I18:K18"/>
    <mergeCell ref="I19:K19"/>
    <mergeCell ref="I20:K20"/>
    <mergeCell ref="I28:K28"/>
    <mergeCell ref="I29:K29"/>
    <mergeCell ref="I30:K30"/>
    <mergeCell ref="I22:K22"/>
    <mergeCell ref="I23:K23"/>
    <mergeCell ref="I24:K24"/>
    <mergeCell ref="I25:K25"/>
    <mergeCell ref="I26:K26"/>
    <mergeCell ref="I27:K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9"/>
  <sheetViews>
    <sheetView tabSelected="1" topLeftCell="A100" workbookViewId="0">
      <selection sqref="A1:C109"/>
    </sheetView>
  </sheetViews>
  <sheetFormatPr defaultRowHeight="14.4" x14ac:dyDescent="0.3"/>
  <cols>
    <col min="1" max="1" width="8.88671875" style="32"/>
  </cols>
  <sheetData>
    <row r="1" spans="1:3" x14ac:dyDescent="0.3">
      <c r="A1" s="32">
        <v>0</v>
      </c>
      <c r="C1">
        <v>20</v>
      </c>
    </row>
    <row r="2" spans="1:3" x14ac:dyDescent="0.3">
      <c r="A2" s="32">
        <v>0.23</v>
      </c>
      <c r="C2">
        <v>10</v>
      </c>
    </row>
    <row r="3" spans="1:3" x14ac:dyDescent="0.3">
      <c r="A3" s="32">
        <v>0.3</v>
      </c>
      <c r="C3">
        <v>0</v>
      </c>
    </row>
    <row r="4" spans="1:3" x14ac:dyDescent="0.3">
      <c r="A4" s="32">
        <v>0.4</v>
      </c>
      <c r="C4">
        <v>-10</v>
      </c>
    </row>
    <row r="5" spans="1:3" x14ac:dyDescent="0.3">
      <c r="A5" s="32">
        <v>0.53</v>
      </c>
      <c r="C5">
        <v>-21</v>
      </c>
    </row>
    <row r="6" spans="1:3" x14ac:dyDescent="0.3">
      <c r="A6" s="32">
        <v>0.76</v>
      </c>
      <c r="C6">
        <v>-10</v>
      </c>
    </row>
    <row r="7" spans="1:3" x14ac:dyDescent="0.3">
      <c r="A7" s="32">
        <v>0.86</v>
      </c>
      <c r="C7">
        <v>0</v>
      </c>
    </row>
    <row r="8" spans="1:3" x14ac:dyDescent="0.3">
      <c r="A8" s="32">
        <v>0.96</v>
      </c>
      <c r="C8">
        <v>10</v>
      </c>
    </row>
    <row r="9" spans="1:3" x14ac:dyDescent="0.3">
      <c r="A9" s="32">
        <v>1.17</v>
      </c>
      <c r="C9">
        <v>22</v>
      </c>
    </row>
    <row r="10" spans="1:3" x14ac:dyDescent="0.3">
      <c r="A10" s="32">
        <v>1.33</v>
      </c>
      <c r="C10">
        <v>10</v>
      </c>
    </row>
    <row r="11" spans="1:3" x14ac:dyDescent="0.3">
      <c r="A11" s="32">
        <v>1.43</v>
      </c>
      <c r="C11">
        <v>0</v>
      </c>
    </row>
    <row r="12" spans="1:3" x14ac:dyDescent="0.3">
      <c r="A12" s="32">
        <v>1.5</v>
      </c>
      <c r="C12">
        <v>-10</v>
      </c>
    </row>
    <row r="13" spans="1:3" x14ac:dyDescent="0.3">
      <c r="A13" s="32">
        <v>1.66</v>
      </c>
      <c r="C13">
        <v>-25</v>
      </c>
    </row>
    <row r="14" spans="1:3" x14ac:dyDescent="0.3">
      <c r="A14" s="32">
        <v>1.89</v>
      </c>
      <c r="C14">
        <v>-10</v>
      </c>
    </row>
    <row r="15" spans="1:3" x14ac:dyDescent="0.3">
      <c r="A15" s="32">
        <v>2</v>
      </c>
      <c r="C15">
        <v>0</v>
      </c>
    </row>
    <row r="16" spans="1:3" x14ac:dyDescent="0.3">
      <c r="A16" s="32">
        <v>2.0699999999999998</v>
      </c>
      <c r="C16">
        <v>10</v>
      </c>
    </row>
    <row r="17" spans="1:3" x14ac:dyDescent="0.3">
      <c r="A17" s="32">
        <v>2.2599999999999998</v>
      </c>
      <c r="C17">
        <v>28</v>
      </c>
    </row>
    <row r="18" spans="1:3" x14ac:dyDescent="0.3">
      <c r="A18" s="32">
        <v>2.46</v>
      </c>
      <c r="C18">
        <v>10</v>
      </c>
    </row>
    <row r="19" spans="1:3" x14ac:dyDescent="0.3">
      <c r="A19" s="32">
        <v>2.5299999999999998</v>
      </c>
      <c r="C19">
        <v>0</v>
      </c>
    </row>
    <row r="20" spans="1:3" x14ac:dyDescent="0.3">
      <c r="A20" s="32">
        <v>2.59</v>
      </c>
      <c r="C20">
        <v>-10</v>
      </c>
    </row>
    <row r="21" spans="1:3" x14ac:dyDescent="0.3">
      <c r="A21" s="32">
        <v>2.79</v>
      </c>
      <c r="C21">
        <v>-29</v>
      </c>
    </row>
    <row r="22" spans="1:3" x14ac:dyDescent="0.3">
      <c r="A22" s="32">
        <v>3.03</v>
      </c>
      <c r="C22">
        <v>-10</v>
      </c>
    </row>
    <row r="23" spans="1:3" x14ac:dyDescent="0.3">
      <c r="A23" s="32">
        <v>3.1</v>
      </c>
      <c r="C23">
        <v>0</v>
      </c>
    </row>
    <row r="24" spans="1:3" x14ac:dyDescent="0.3">
      <c r="A24" s="32">
        <v>3.17</v>
      </c>
      <c r="C24">
        <v>10</v>
      </c>
    </row>
    <row r="25" spans="1:3" x14ac:dyDescent="0.3">
      <c r="A25" s="32">
        <v>3.36</v>
      </c>
      <c r="C25">
        <v>29</v>
      </c>
    </row>
    <row r="26" spans="1:3" x14ac:dyDescent="0.3">
      <c r="A26" s="32">
        <v>3.56</v>
      </c>
      <c r="C26">
        <v>10</v>
      </c>
    </row>
    <row r="27" spans="1:3" x14ac:dyDescent="0.3">
      <c r="A27" s="32">
        <v>3.63</v>
      </c>
      <c r="C27">
        <v>0</v>
      </c>
    </row>
    <row r="28" spans="1:3" x14ac:dyDescent="0.3">
      <c r="A28" s="32">
        <v>3.69</v>
      </c>
      <c r="C28">
        <v>-10</v>
      </c>
    </row>
    <row r="29" spans="1:3" x14ac:dyDescent="0.3">
      <c r="A29" s="32">
        <v>3.89</v>
      </c>
      <c r="C29">
        <v>-30</v>
      </c>
    </row>
    <row r="30" spans="1:3" x14ac:dyDescent="0.3">
      <c r="A30" s="32">
        <v>4.13</v>
      </c>
      <c r="C30">
        <v>-10</v>
      </c>
    </row>
    <row r="31" spans="1:3" x14ac:dyDescent="0.3">
      <c r="A31" s="32">
        <v>4.2</v>
      </c>
      <c r="C31">
        <v>0</v>
      </c>
    </row>
    <row r="32" spans="1:3" x14ac:dyDescent="0.3">
      <c r="A32" s="32">
        <v>4.26</v>
      </c>
      <c r="C32">
        <v>10</v>
      </c>
    </row>
    <row r="33" spans="1:3" x14ac:dyDescent="0.3">
      <c r="A33" s="32">
        <v>4.5</v>
      </c>
      <c r="C33">
        <v>31</v>
      </c>
    </row>
    <row r="34" spans="1:3" x14ac:dyDescent="0.3">
      <c r="A34" s="32">
        <v>4.66</v>
      </c>
      <c r="C34">
        <v>20</v>
      </c>
    </row>
    <row r="35" spans="1:3" x14ac:dyDescent="0.3">
      <c r="A35" s="32">
        <v>4.76</v>
      </c>
      <c r="C35">
        <v>0</v>
      </c>
    </row>
    <row r="36" spans="1:3" x14ac:dyDescent="0.3">
      <c r="A36" s="32">
        <v>4.8600000000000003</v>
      </c>
      <c r="C36">
        <v>-20</v>
      </c>
    </row>
    <row r="37" spans="1:3" x14ac:dyDescent="0.3">
      <c r="A37" s="32">
        <v>5.03</v>
      </c>
      <c r="C37">
        <v>-31</v>
      </c>
    </row>
    <row r="38" spans="1:3" x14ac:dyDescent="0.3">
      <c r="A38" s="32">
        <v>5.2</v>
      </c>
      <c r="C38">
        <v>-20</v>
      </c>
    </row>
    <row r="39" spans="1:3" x14ac:dyDescent="0.3">
      <c r="A39" s="32">
        <v>5.3</v>
      </c>
      <c r="C39">
        <v>0</v>
      </c>
    </row>
    <row r="40" spans="1:3" x14ac:dyDescent="0.3">
      <c r="A40" s="32">
        <v>5.43</v>
      </c>
      <c r="C40">
        <v>20</v>
      </c>
    </row>
    <row r="41" spans="1:3" x14ac:dyDescent="0.3">
      <c r="A41" s="32">
        <v>5.59</v>
      </c>
      <c r="C41">
        <v>34</v>
      </c>
    </row>
    <row r="42" spans="1:3" x14ac:dyDescent="0.3">
      <c r="A42" s="32">
        <v>5.73</v>
      </c>
      <c r="C42">
        <v>20</v>
      </c>
    </row>
    <row r="43" spans="1:3" x14ac:dyDescent="0.3">
      <c r="A43" s="32">
        <v>5.86</v>
      </c>
      <c r="C43">
        <v>0</v>
      </c>
    </row>
    <row r="44" spans="1:3" x14ac:dyDescent="0.3">
      <c r="A44" s="32">
        <v>5.96</v>
      </c>
      <c r="C44">
        <v>-20</v>
      </c>
    </row>
    <row r="45" spans="1:3" x14ac:dyDescent="0.3">
      <c r="A45" s="32">
        <v>6.13</v>
      </c>
      <c r="C45">
        <v>-36</v>
      </c>
    </row>
    <row r="46" spans="1:3" x14ac:dyDescent="0.3">
      <c r="A46" s="32">
        <v>6.3</v>
      </c>
      <c r="C46">
        <v>-20</v>
      </c>
    </row>
    <row r="47" spans="1:3" x14ac:dyDescent="0.3">
      <c r="A47" s="32">
        <v>6.43</v>
      </c>
      <c r="C47">
        <v>0</v>
      </c>
    </row>
    <row r="48" spans="1:3" x14ac:dyDescent="0.3">
      <c r="A48" s="32">
        <v>6.53</v>
      </c>
      <c r="C48">
        <v>20</v>
      </c>
    </row>
    <row r="49" spans="1:3" x14ac:dyDescent="0.3">
      <c r="A49" s="32">
        <v>6.69</v>
      </c>
      <c r="C49">
        <v>38</v>
      </c>
    </row>
    <row r="50" spans="1:3" x14ac:dyDescent="0.3">
      <c r="A50" s="32">
        <v>6.86</v>
      </c>
      <c r="C50">
        <v>20</v>
      </c>
    </row>
    <row r="51" spans="1:3" x14ac:dyDescent="0.3">
      <c r="A51" s="32">
        <v>6.96</v>
      </c>
      <c r="C51">
        <v>0</v>
      </c>
    </row>
    <row r="52" spans="1:3" x14ac:dyDescent="0.3">
      <c r="A52" s="32">
        <v>7.07</v>
      </c>
      <c r="C52">
        <v>-20</v>
      </c>
    </row>
    <row r="53" spans="1:3" x14ac:dyDescent="0.3">
      <c r="A53" s="32">
        <v>7.26</v>
      </c>
      <c r="C53">
        <v>-40</v>
      </c>
    </row>
    <row r="54" spans="1:3" x14ac:dyDescent="0.3">
      <c r="A54" s="32">
        <v>7.43</v>
      </c>
      <c r="C54">
        <v>-20</v>
      </c>
    </row>
    <row r="55" spans="1:3" x14ac:dyDescent="0.3">
      <c r="A55" s="32">
        <v>7.53</v>
      </c>
      <c r="C55">
        <v>0</v>
      </c>
    </row>
    <row r="56" spans="1:3" x14ac:dyDescent="0.3">
      <c r="A56" s="32">
        <v>7.63</v>
      </c>
      <c r="C56">
        <v>20</v>
      </c>
    </row>
    <row r="57" spans="1:3" x14ac:dyDescent="0.3">
      <c r="A57" s="32">
        <v>7.83</v>
      </c>
      <c r="C57">
        <v>44</v>
      </c>
    </row>
    <row r="58" spans="1:3" x14ac:dyDescent="0.3">
      <c r="A58" s="32">
        <v>8</v>
      </c>
      <c r="C58">
        <v>20</v>
      </c>
    </row>
    <row r="59" spans="1:3" x14ac:dyDescent="0.3">
      <c r="A59" s="32">
        <v>8.1</v>
      </c>
      <c r="C59">
        <v>0</v>
      </c>
    </row>
    <row r="60" spans="1:3" x14ac:dyDescent="0.3">
      <c r="A60" s="32">
        <v>8.17</v>
      </c>
      <c r="C60">
        <v>-20</v>
      </c>
    </row>
    <row r="61" spans="1:3" x14ac:dyDescent="0.3">
      <c r="A61" s="32">
        <v>8.36</v>
      </c>
      <c r="C61">
        <v>-50</v>
      </c>
    </row>
    <row r="62" spans="1:3" x14ac:dyDescent="0.3">
      <c r="A62" s="32">
        <v>8.56</v>
      </c>
      <c r="C62">
        <v>-20</v>
      </c>
    </row>
    <row r="63" spans="1:3" x14ac:dyDescent="0.3">
      <c r="A63" s="32">
        <v>8.66</v>
      </c>
      <c r="C63">
        <v>0</v>
      </c>
    </row>
    <row r="64" spans="1:3" x14ac:dyDescent="0.3">
      <c r="A64" s="32">
        <v>8.73</v>
      </c>
      <c r="C64">
        <v>20</v>
      </c>
    </row>
    <row r="65" spans="1:3" x14ac:dyDescent="0.3">
      <c r="A65" s="32">
        <v>8.92</v>
      </c>
      <c r="C65">
        <v>50</v>
      </c>
    </row>
    <row r="66" spans="1:3" x14ac:dyDescent="0.3">
      <c r="A66" s="32">
        <v>9.07</v>
      </c>
      <c r="C66">
        <v>30</v>
      </c>
    </row>
    <row r="67" spans="1:3" x14ac:dyDescent="0.3">
      <c r="A67" s="32">
        <v>9.1999999999999993</v>
      </c>
      <c r="C67">
        <v>0</v>
      </c>
    </row>
    <row r="68" spans="1:3" x14ac:dyDescent="0.3">
      <c r="A68" s="32">
        <v>9.33</v>
      </c>
      <c r="C68">
        <v>-30</v>
      </c>
    </row>
    <row r="69" spans="1:3" x14ac:dyDescent="0.3">
      <c r="A69" s="32">
        <v>9.5</v>
      </c>
      <c r="C69">
        <v>-52</v>
      </c>
    </row>
    <row r="70" spans="1:3" x14ac:dyDescent="0.3">
      <c r="A70" s="32">
        <v>9.6300000000000008</v>
      </c>
      <c r="C70">
        <v>-30</v>
      </c>
    </row>
    <row r="71" spans="1:3" x14ac:dyDescent="0.3">
      <c r="A71" s="32">
        <v>9.76</v>
      </c>
      <c r="C71">
        <v>0</v>
      </c>
    </row>
    <row r="72" spans="1:3" x14ac:dyDescent="0.3">
      <c r="A72" s="32">
        <v>9.86</v>
      </c>
      <c r="C72">
        <v>30</v>
      </c>
    </row>
    <row r="73" spans="1:3" x14ac:dyDescent="0.3">
      <c r="A73" s="32">
        <v>10.07</v>
      </c>
      <c r="C73">
        <v>55</v>
      </c>
    </row>
    <row r="74" spans="1:3" x14ac:dyDescent="0.3">
      <c r="A74" s="32">
        <v>10.199999999999999</v>
      </c>
      <c r="C74">
        <v>30</v>
      </c>
    </row>
    <row r="75" spans="1:3" x14ac:dyDescent="0.3">
      <c r="A75" s="32">
        <v>10.33</v>
      </c>
      <c r="C75">
        <v>0</v>
      </c>
    </row>
    <row r="76" spans="1:3" x14ac:dyDescent="0.3">
      <c r="A76" s="32">
        <v>10.43</v>
      </c>
      <c r="C76">
        <v>-30</v>
      </c>
    </row>
    <row r="77" spans="1:3" x14ac:dyDescent="0.3">
      <c r="A77" s="32">
        <v>10.63</v>
      </c>
      <c r="C77">
        <v>-57</v>
      </c>
    </row>
    <row r="78" spans="1:3" x14ac:dyDescent="0.3">
      <c r="A78" s="32">
        <v>10.76</v>
      </c>
      <c r="C78">
        <v>-30</v>
      </c>
    </row>
    <row r="79" spans="1:3" x14ac:dyDescent="0.3">
      <c r="A79" s="32">
        <v>10.86</v>
      </c>
      <c r="C79">
        <v>0</v>
      </c>
    </row>
    <row r="80" spans="1:3" x14ac:dyDescent="0.3">
      <c r="A80" s="32">
        <v>10.96</v>
      </c>
      <c r="C80">
        <v>30</v>
      </c>
    </row>
    <row r="81" spans="1:3" x14ac:dyDescent="0.3">
      <c r="A81" s="32">
        <v>11.17</v>
      </c>
      <c r="C81">
        <v>65</v>
      </c>
    </row>
    <row r="82" spans="1:3" x14ac:dyDescent="0.3">
      <c r="A82" s="32">
        <v>11.3</v>
      </c>
      <c r="C82">
        <v>40</v>
      </c>
    </row>
    <row r="83" spans="1:3" x14ac:dyDescent="0.3">
      <c r="A83" s="32">
        <v>11.43</v>
      </c>
      <c r="C83">
        <v>0</v>
      </c>
    </row>
    <row r="84" spans="1:3" x14ac:dyDescent="0.3">
      <c r="A84" s="32">
        <v>11.56</v>
      </c>
      <c r="C84">
        <v>-40</v>
      </c>
    </row>
    <row r="85" spans="1:3" x14ac:dyDescent="0.3">
      <c r="A85" s="32">
        <v>11.69</v>
      </c>
      <c r="C85">
        <v>-70</v>
      </c>
    </row>
    <row r="86" spans="1:3" x14ac:dyDescent="0.3">
      <c r="A86" s="32">
        <v>11.86</v>
      </c>
      <c r="C86">
        <v>-40</v>
      </c>
    </row>
    <row r="87" spans="1:3" x14ac:dyDescent="0.3">
      <c r="A87" s="32">
        <v>12</v>
      </c>
      <c r="C87">
        <v>0</v>
      </c>
    </row>
    <row r="88" spans="1:3" x14ac:dyDescent="0.3">
      <c r="A88" s="32">
        <v>12.13</v>
      </c>
      <c r="C88">
        <v>40</v>
      </c>
    </row>
    <row r="89" spans="1:3" x14ac:dyDescent="0.3">
      <c r="A89" s="32">
        <v>12.26</v>
      </c>
      <c r="C89">
        <v>75</v>
      </c>
    </row>
    <row r="90" spans="1:3" x14ac:dyDescent="0.3">
      <c r="A90" s="32">
        <v>12.43</v>
      </c>
      <c r="C90">
        <v>40</v>
      </c>
    </row>
    <row r="91" spans="1:3" x14ac:dyDescent="0.3">
      <c r="A91" s="32">
        <v>12.56</v>
      </c>
      <c r="C91">
        <v>0</v>
      </c>
    </row>
    <row r="92" spans="1:3" x14ac:dyDescent="0.3">
      <c r="A92" s="32">
        <v>12.66</v>
      </c>
      <c r="C92">
        <v>-40</v>
      </c>
    </row>
    <row r="93" spans="1:3" x14ac:dyDescent="0.3">
      <c r="A93" s="32">
        <v>12.83</v>
      </c>
      <c r="C93">
        <v>-82</v>
      </c>
    </row>
    <row r="94" spans="1:3" x14ac:dyDescent="0.3">
      <c r="A94" s="32">
        <v>13</v>
      </c>
      <c r="C94">
        <v>-40</v>
      </c>
    </row>
    <row r="95" spans="1:3" x14ac:dyDescent="0.3">
      <c r="A95" s="32">
        <v>13.1</v>
      </c>
      <c r="C95">
        <v>0</v>
      </c>
    </row>
    <row r="96" spans="1:3" x14ac:dyDescent="0.3">
      <c r="A96" s="32">
        <v>13.23</v>
      </c>
      <c r="C96">
        <v>40</v>
      </c>
    </row>
    <row r="97" spans="1:3" x14ac:dyDescent="0.3">
      <c r="A97" s="32">
        <v>13.4</v>
      </c>
      <c r="C97">
        <v>92</v>
      </c>
    </row>
    <row r="98" spans="1:3" x14ac:dyDescent="0.3">
      <c r="A98" s="32">
        <v>13.53</v>
      </c>
      <c r="C98">
        <v>50</v>
      </c>
    </row>
    <row r="99" spans="1:3" x14ac:dyDescent="0.3">
      <c r="A99" s="32">
        <v>13.66</v>
      </c>
      <c r="C99">
        <v>0</v>
      </c>
    </row>
    <row r="100" spans="1:3" x14ac:dyDescent="0.3">
      <c r="A100" s="32">
        <v>13.79</v>
      </c>
      <c r="C100">
        <v>-50</v>
      </c>
    </row>
    <row r="101" spans="1:3" x14ac:dyDescent="0.3">
      <c r="A101" s="32">
        <v>13.92</v>
      </c>
      <c r="C101">
        <v>-100</v>
      </c>
    </row>
    <row r="102" spans="1:3" x14ac:dyDescent="0.3">
      <c r="A102" s="32">
        <v>14.1</v>
      </c>
      <c r="C102">
        <v>-50</v>
      </c>
    </row>
    <row r="103" spans="1:3" x14ac:dyDescent="0.3">
      <c r="A103" s="32">
        <v>14.23</v>
      </c>
      <c r="C103">
        <v>0</v>
      </c>
    </row>
    <row r="104" spans="1:3" x14ac:dyDescent="0.3">
      <c r="A104" s="32">
        <v>14.36</v>
      </c>
      <c r="C104">
        <v>50</v>
      </c>
    </row>
    <row r="105" spans="1:3" x14ac:dyDescent="0.3">
      <c r="A105" s="32">
        <v>14.5</v>
      </c>
      <c r="C105">
        <v>108</v>
      </c>
    </row>
    <row r="106" spans="1:3" x14ac:dyDescent="0.3">
      <c r="A106" s="32">
        <v>14.66</v>
      </c>
      <c r="C106">
        <v>50</v>
      </c>
    </row>
    <row r="107" spans="1:3" x14ac:dyDescent="0.3">
      <c r="A107" s="32">
        <v>14.79</v>
      </c>
      <c r="C107">
        <v>0</v>
      </c>
    </row>
    <row r="108" spans="1:3" x14ac:dyDescent="0.3">
      <c r="A108" s="32">
        <v>14.89</v>
      </c>
      <c r="C108">
        <v>-50</v>
      </c>
    </row>
    <row r="109" spans="1:3" x14ac:dyDescent="0.3">
      <c r="A109" s="32">
        <v>15.07</v>
      </c>
      <c r="C109">
        <v>-115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 Дерткезов</dc:creator>
  <cp:lastModifiedBy>Виктор Дерткезов</cp:lastModifiedBy>
  <dcterms:created xsi:type="dcterms:W3CDTF">2025-01-05T16:01:03Z</dcterms:created>
  <dcterms:modified xsi:type="dcterms:W3CDTF">2025-01-06T00:08:20Z</dcterms:modified>
</cp:coreProperties>
</file>